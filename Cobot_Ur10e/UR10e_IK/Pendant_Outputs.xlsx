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GitHub\model_based_digital_twin\Cobot_Ur10e\UR10e_IK\"/>
    </mc:Choice>
  </mc:AlternateContent>
  <xr:revisionPtr revIDLastSave="0" documentId="13_ncr:1_{EF93FCE1-6496-4CB7-BACC-A22B0A398772}" xr6:coauthVersionLast="47" xr6:coauthVersionMax="47" xr10:uidLastSave="{00000000-0000-0000-0000-000000000000}"/>
  <bookViews>
    <workbookView xWindow="24" yWindow="24" windowWidth="23016" windowHeight="12216" xr2:uid="{79F2A61D-E581-4A55-86ED-154B29E12F6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J26" i="1"/>
  <c r="I25" i="1"/>
  <c r="H25" i="1"/>
  <c r="I23" i="1"/>
  <c r="H23" i="1"/>
  <c r="I46" i="1"/>
  <c r="H42" i="1"/>
  <c r="H43" i="1"/>
  <c r="I43" i="1"/>
  <c r="J43" i="1"/>
  <c r="K43" i="1"/>
  <c r="L43" i="1"/>
  <c r="M43" i="1"/>
  <c r="H44" i="1"/>
  <c r="I44" i="1"/>
  <c r="J44" i="1"/>
  <c r="K44" i="1"/>
  <c r="L44" i="1"/>
  <c r="M44" i="1"/>
  <c r="H45" i="1"/>
  <c r="I45" i="1"/>
  <c r="J45" i="1"/>
  <c r="K45" i="1"/>
  <c r="L45" i="1"/>
  <c r="M45" i="1"/>
  <c r="H46" i="1"/>
  <c r="J46" i="1"/>
  <c r="K46" i="1"/>
  <c r="L46" i="1"/>
  <c r="M46" i="1"/>
  <c r="I42" i="1"/>
  <c r="J42" i="1"/>
  <c r="K42" i="1"/>
  <c r="L42" i="1"/>
  <c r="M42" i="1"/>
  <c r="H28" i="1"/>
  <c r="I28" i="1"/>
  <c r="K28" i="1"/>
  <c r="L28" i="1"/>
  <c r="M28" i="1"/>
  <c r="H29" i="1"/>
  <c r="I29" i="1"/>
  <c r="J29" i="1"/>
  <c r="K29" i="1"/>
  <c r="L29" i="1"/>
  <c r="M29" i="1"/>
  <c r="I27" i="1"/>
  <c r="H27" i="1"/>
  <c r="H24" i="1"/>
  <c r="J24" i="1"/>
  <c r="K24" i="1"/>
  <c r="L24" i="1"/>
  <c r="M24" i="1"/>
  <c r="J25" i="1"/>
  <c r="K25" i="1"/>
  <c r="L25" i="1"/>
  <c r="M25" i="1"/>
  <c r="H26" i="1"/>
  <c r="I26" i="1"/>
  <c r="K26" i="1"/>
  <c r="L26" i="1"/>
  <c r="M26" i="1"/>
  <c r="J27" i="1"/>
  <c r="K27" i="1"/>
  <c r="L27" i="1"/>
  <c r="M27" i="1"/>
  <c r="J23" i="1"/>
  <c r="K23" i="1"/>
  <c r="L23" i="1"/>
  <c r="M23" i="1"/>
  <c r="C7" i="1"/>
  <c r="C6" i="1"/>
  <c r="C5" i="1"/>
  <c r="I24" i="1" s="1"/>
</calcChain>
</file>

<file path=xl/sharedStrings.xml><?xml version="1.0" encoding="utf-8"?>
<sst xmlns="http://schemas.openxmlformats.org/spreadsheetml/2006/main" count="51" uniqueCount="35">
  <si>
    <t>Test No</t>
  </si>
  <si>
    <t>x</t>
  </si>
  <si>
    <t>y</t>
  </si>
  <si>
    <t>z</t>
  </si>
  <si>
    <t>q1</t>
  </si>
  <si>
    <t>q2</t>
  </si>
  <si>
    <t>q3</t>
  </si>
  <si>
    <t>q4</t>
  </si>
  <si>
    <t>q5</t>
  </si>
  <si>
    <t>q6</t>
  </si>
  <si>
    <t>IK FMU Data</t>
  </si>
  <si>
    <t>x_ik</t>
  </si>
  <si>
    <t>y_ik</t>
  </si>
  <si>
    <t>z_ik</t>
  </si>
  <si>
    <t>roll_ik</t>
  </si>
  <si>
    <t>pitch_ik</t>
  </si>
  <si>
    <t>yaw_ik</t>
  </si>
  <si>
    <t>q1_ik</t>
  </si>
  <si>
    <t>q2_ik</t>
  </si>
  <si>
    <t>q3_ik</t>
  </si>
  <si>
    <t>q4_ik</t>
  </si>
  <si>
    <t>q5_ik</t>
  </si>
  <si>
    <t>q6_ik</t>
  </si>
  <si>
    <t>Rx</t>
  </si>
  <si>
    <t>Ry</t>
  </si>
  <si>
    <t>Rz</t>
  </si>
  <si>
    <t>End-Effector Pose (m)</t>
  </si>
  <si>
    <t>RPY [rad]</t>
  </si>
  <si>
    <t>Rotation Vector [rad]</t>
  </si>
  <si>
    <t>Real Robot Datas (feature - Base)</t>
  </si>
  <si>
    <t>Joint Angles (rad)</t>
  </si>
  <si>
    <t>GAP</t>
  </si>
  <si>
    <t>rx_ik</t>
  </si>
  <si>
    <t>ry_ik</t>
  </si>
  <si>
    <t>rz_ik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</si>
</sst>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Cambria"/>
      <family val="1"/>
      <charset val="162"/>
    </font>
    <font>
      <sz val="8"/>
      <color rgb="FF000000"/>
      <name val="Cambria"/>
      <family val="1"/>
      <charset val="162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1" fontId="2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1" xfId="0" applyFont="1" applyBorder="1"/>
    <xf numFmtId="0" fontId="1" fillId="0" borderId="9" xfId="0" applyFont="1" applyBorder="1" applyAlignment="1">
      <alignment vertical="center" wrapText="1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DF93-D8BE-4238-91CA-878DA8C6A820}">
  <dimension ref="A1:R46"/>
  <sheetViews>
    <sheetView tabSelected="1" topLeftCell="A19" zoomScale="130" workbookViewId="0">
      <selection activeCell="O28" sqref="O28"/>
    </sheetView>
  </sheetViews>
  <sheetFormatPr defaultRowHeight="14.4" x14ac:dyDescent="0.3"/>
  <cols>
    <col min="6" max="6" width="9.33203125" bestFit="1" customWidth="1"/>
    <col min="12" max="12" width="6.6640625" bestFit="1" customWidth="1"/>
    <col min="16" max="18" width="8.88671875" customWidth="1"/>
  </cols>
  <sheetData>
    <row r="1" spans="1:16" x14ac:dyDescent="0.3">
      <c r="A1" s="12" t="s">
        <v>29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 spans="1:16" x14ac:dyDescent="0.3">
      <c r="A2" s="10"/>
      <c r="B2" s="12" t="s">
        <v>30</v>
      </c>
      <c r="C2" s="13"/>
      <c r="D2" s="13"/>
      <c r="E2" s="13"/>
      <c r="F2" s="13"/>
      <c r="G2" s="14"/>
      <c r="H2" s="12" t="s">
        <v>26</v>
      </c>
      <c r="I2" s="13"/>
      <c r="J2" s="14"/>
      <c r="K2" s="12" t="s">
        <v>27</v>
      </c>
      <c r="L2" s="13"/>
      <c r="M2" s="14"/>
      <c r="N2" s="12" t="s">
        <v>28</v>
      </c>
      <c r="O2" s="13"/>
      <c r="P2" s="14"/>
    </row>
    <row r="3" spans="1:16" x14ac:dyDescent="0.3">
      <c r="A3" s="7" t="s">
        <v>0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</v>
      </c>
      <c r="I3" s="7" t="s">
        <v>2</v>
      </c>
      <c r="J3" s="7" t="s">
        <v>3</v>
      </c>
      <c r="K3" s="7" t="s">
        <v>23</v>
      </c>
      <c r="L3" s="7" t="s">
        <v>24</v>
      </c>
      <c r="M3" s="7" t="s">
        <v>25</v>
      </c>
      <c r="N3" s="2" t="s">
        <v>23</v>
      </c>
      <c r="O3" s="2" t="s">
        <v>24</v>
      </c>
      <c r="P3" s="2" t="s">
        <v>25</v>
      </c>
    </row>
    <row r="4" spans="1:16" x14ac:dyDescent="0.3">
      <c r="A4" s="2">
        <v>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-1.1830000000000001</v>
      </c>
      <c r="I4" s="3">
        <v>-0.29070000000000001</v>
      </c>
      <c r="J4" s="3">
        <v>6.0299999999999999E-2</v>
      </c>
      <c r="K4" s="3">
        <v>1.5740000000000001</v>
      </c>
      <c r="L4" s="3">
        <v>0</v>
      </c>
      <c r="M4" s="3">
        <v>0</v>
      </c>
      <c r="N4" s="9">
        <v>1.5740000000000001</v>
      </c>
      <c r="O4" s="9">
        <v>0</v>
      </c>
      <c r="P4" s="9">
        <v>0</v>
      </c>
    </row>
    <row r="5" spans="1:16" x14ac:dyDescent="0.3">
      <c r="A5" s="2">
        <v>2</v>
      </c>
      <c r="B5" s="3">
        <v>0</v>
      </c>
      <c r="C5" s="3">
        <f>(-90*3.14)/180</f>
        <v>-1.57</v>
      </c>
      <c r="D5" s="3">
        <v>1.57</v>
      </c>
      <c r="E5" s="3">
        <v>0</v>
      </c>
      <c r="F5" s="3">
        <v>0</v>
      </c>
      <c r="G5" s="3">
        <v>0</v>
      </c>
      <c r="H5" s="3">
        <v>-0.57120000000000004</v>
      </c>
      <c r="I5" s="3">
        <v>-0.28960000000000002</v>
      </c>
      <c r="J5" s="3">
        <v>0.67210000000000003</v>
      </c>
      <c r="K5" s="3">
        <v>1.577</v>
      </c>
      <c r="L5" s="3">
        <v>0</v>
      </c>
      <c r="M5" s="3">
        <v>0</v>
      </c>
      <c r="N5" s="3">
        <v>1.577</v>
      </c>
      <c r="O5" s="3">
        <v>0</v>
      </c>
      <c r="P5" s="3">
        <v>0</v>
      </c>
    </row>
    <row r="6" spans="1:16" x14ac:dyDescent="0.3">
      <c r="A6" s="2">
        <v>3</v>
      </c>
      <c r="B6" s="3">
        <v>0</v>
      </c>
      <c r="C6" s="3">
        <f>(-90*3.14)/180</f>
        <v>-1.57</v>
      </c>
      <c r="D6" s="3">
        <v>1.57</v>
      </c>
      <c r="E6" s="3">
        <v>0</v>
      </c>
      <c r="F6" s="3">
        <v>1.57</v>
      </c>
      <c r="G6" s="3">
        <v>0</v>
      </c>
      <c r="H6" s="3">
        <v>-0.68600000000000005</v>
      </c>
      <c r="I6" s="3">
        <v>-0.17399999999999999</v>
      </c>
      <c r="J6" s="3">
        <v>0.67259999999999998</v>
      </c>
      <c r="K6" s="3">
        <v>1.5720000000000001</v>
      </c>
      <c r="L6" s="4">
        <v>5.0000000000000001E-3</v>
      </c>
      <c r="M6" s="3">
        <v>-1.571</v>
      </c>
      <c r="N6" s="3">
        <v>1.214</v>
      </c>
      <c r="O6" s="3">
        <v>-1.208</v>
      </c>
      <c r="P6" s="3">
        <v>-1.212</v>
      </c>
    </row>
    <row r="7" spans="1:16" x14ac:dyDescent="0.3">
      <c r="A7" s="2">
        <v>4</v>
      </c>
      <c r="B7" s="3">
        <v>1.57</v>
      </c>
      <c r="C7" s="3">
        <f>(-90*3.14)/180</f>
        <v>-1.57</v>
      </c>
      <c r="D7" s="3">
        <v>1.57</v>
      </c>
      <c r="E7" s="3">
        <v>0</v>
      </c>
      <c r="F7" s="3">
        <v>0</v>
      </c>
      <c r="G7" s="3">
        <v>0</v>
      </c>
      <c r="H7" s="3">
        <v>0.28960000000000002</v>
      </c>
      <c r="I7" s="3">
        <v>-0.57120000000000004</v>
      </c>
      <c r="J7" s="3">
        <v>0.67210000000000003</v>
      </c>
      <c r="K7" s="3">
        <v>1.577</v>
      </c>
      <c r="L7" s="3">
        <v>0</v>
      </c>
      <c r="M7" s="3">
        <v>1.571</v>
      </c>
      <c r="N7" s="3">
        <v>1.2130000000000001</v>
      </c>
      <c r="O7" s="3">
        <v>1.214</v>
      </c>
      <c r="P7" s="3">
        <v>1.2070000000000001</v>
      </c>
    </row>
    <row r="8" spans="1:16" x14ac:dyDescent="0.3">
      <c r="A8" s="2">
        <v>5</v>
      </c>
      <c r="B8" s="3">
        <v>0.34899999999999998</v>
      </c>
      <c r="C8" s="3">
        <v>-0.52300000000000002</v>
      </c>
      <c r="D8" s="3">
        <v>1.0469999999999999</v>
      </c>
      <c r="E8" s="3">
        <v>-0.78500000000000003</v>
      </c>
      <c r="F8" s="3">
        <v>0.52300000000000002</v>
      </c>
      <c r="G8" s="3">
        <v>1.57</v>
      </c>
      <c r="H8" s="3">
        <v>-0.95</v>
      </c>
      <c r="I8" s="3">
        <v>-0.63880000000000003</v>
      </c>
      <c r="J8" s="3">
        <v>9.9699999999999997E-2</v>
      </c>
      <c r="K8" s="3">
        <v>1.0620000000000001</v>
      </c>
      <c r="L8" s="3">
        <v>-1.31</v>
      </c>
      <c r="M8" s="3">
        <v>0.33800000000000002</v>
      </c>
      <c r="N8" s="3">
        <v>1.1120000000000001</v>
      </c>
      <c r="O8" s="3">
        <v>-1.034</v>
      </c>
      <c r="P8" s="3">
        <v>0.96299999999999997</v>
      </c>
    </row>
    <row r="9" spans="1:16" x14ac:dyDescent="0.3">
      <c r="A9" s="2">
        <v>6</v>
      </c>
      <c r="B9" s="3">
        <v>0.54300000000000004</v>
      </c>
      <c r="C9" s="3">
        <v>-1.95</v>
      </c>
      <c r="D9" s="3">
        <v>-1.0369999999999999</v>
      </c>
      <c r="E9" s="3">
        <v>-0.29299999999999998</v>
      </c>
      <c r="F9" s="3">
        <v>1.2549999999999999</v>
      </c>
      <c r="G9" s="3">
        <v>-0.48199999999999998</v>
      </c>
      <c r="H9" s="3">
        <v>0.66900000000000004</v>
      </c>
      <c r="I9" s="3">
        <v>0.34420000000000001</v>
      </c>
      <c r="J9" s="3">
        <v>0.97209999999999996</v>
      </c>
      <c r="K9" s="3">
        <v>-1.72</v>
      </c>
      <c r="L9" s="3">
        <v>-0.52200000000000002</v>
      </c>
      <c r="M9" s="3">
        <v>-1.2709999999999999</v>
      </c>
      <c r="N9" s="3"/>
      <c r="O9" s="3"/>
      <c r="P9" s="3"/>
    </row>
    <row r="10" spans="1:16" x14ac:dyDescent="0.3">
      <c r="A10" s="2">
        <v>7</v>
      </c>
      <c r="B10" s="3">
        <v>0.79168134899999998</v>
      </c>
      <c r="C10" s="3">
        <v>-1.625948731</v>
      </c>
      <c r="D10" s="3">
        <v>-1.3824753009999999</v>
      </c>
      <c r="E10" s="3">
        <v>-0.28885199099999997</v>
      </c>
      <c r="F10" s="3">
        <v>1.0079276429999999</v>
      </c>
      <c r="G10" s="3">
        <v>-0.441568301</v>
      </c>
      <c r="H10" s="3">
        <v>0.89510000000000001</v>
      </c>
      <c r="I10" s="3">
        <v>0.29430000000000001</v>
      </c>
      <c r="J10" s="3">
        <v>0.94259999999999999</v>
      </c>
      <c r="K10" s="3">
        <v>-1.7208000000000001</v>
      </c>
      <c r="L10" s="3">
        <v>-0.5212</v>
      </c>
      <c r="M10" s="3">
        <v>-1.2706</v>
      </c>
      <c r="N10" s="3"/>
      <c r="O10" s="3"/>
      <c r="P10" s="3"/>
    </row>
    <row r="11" spans="1:16" x14ac:dyDescent="0.3">
      <c r="B11" s="1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6" x14ac:dyDescent="0.3">
      <c r="A12" s="16"/>
      <c r="B12" s="16"/>
      <c r="C12" s="16"/>
      <c r="D12" s="16"/>
      <c r="E12" s="16"/>
      <c r="F12" s="16"/>
      <c r="G12" s="16"/>
    </row>
    <row r="13" spans="1:16" x14ac:dyDescent="0.3">
      <c r="A13" s="15" t="s">
        <v>10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6" x14ac:dyDescent="0.3">
      <c r="A14" s="8" t="s">
        <v>0</v>
      </c>
      <c r="B14" s="7" t="s">
        <v>11</v>
      </c>
      <c r="C14" s="7" t="s">
        <v>12</v>
      </c>
      <c r="D14" s="7" t="s">
        <v>13</v>
      </c>
      <c r="E14" s="7" t="s">
        <v>14</v>
      </c>
      <c r="F14" s="7" t="s">
        <v>15</v>
      </c>
      <c r="G14" s="7" t="s">
        <v>16</v>
      </c>
      <c r="H14" s="7" t="s">
        <v>17</v>
      </c>
      <c r="I14" s="7" t="s">
        <v>18</v>
      </c>
      <c r="J14" s="7" t="s">
        <v>19</v>
      </c>
      <c r="K14" s="7" t="s">
        <v>20</v>
      </c>
      <c r="L14" s="7" t="s">
        <v>21</v>
      </c>
      <c r="M14" s="7" t="s">
        <v>22</v>
      </c>
    </row>
    <row r="15" spans="1:16" x14ac:dyDescent="0.3">
      <c r="A15" s="5">
        <v>1</v>
      </c>
      <c r="B15" s="3">
        <v>-1.1830000000000001</v>
      </c>
      <c r="C15" s="3">
        <v>-0.29070000000000001</v>
      </c>
      <c r="D15" s="3">
        <v>6.0299999999999999E-2</v>
      </c>
      <c r="E15" s="3">
        <v>1.5740000000000001</v>
      </c>
      <c r="F15" s="3">
        <v>0</v>
      </c>
      <c r="G15" s="3">
        <v>0</v>
      </c>
      <c r="H15" s="3">
        <v>-2.5308973019320702E-4</v>
      </c>
      <c r="I15" s="3">
        <v>-0.32581714894376701</v>
      </c>
      <c r="J15" s="3">
        <v>0.89253143248364697</v>
      </c>
      <c r="K15" s="3">
        <v>-2.05867475394757</v>
      </c>
      <c r="L15" s="3">
        <v>-3.2136546481358699E-3</v>
      </c>
      <c r="M15" s="3">
        <v>1.49196006499895</v>
      </c>
    </row>
    <row r="16" spans="1:16" x14ac:dyDescent="0.3">
      <c r="A16" s="5">
        <v>2</v>
      </c>
      <c r="B16" s="3">
        <v>-0.57120000000000004</v>
      </c>
      <c r="C16" s="3">
        <v>-0.28960000000000002</v>
      </c>
      <c r="D16" s="3">
        <v>0.67210000000000003</v>
      </c>
      <c r="E16" s="3">
        <v>1.577</v>
      </c>
      <c r="F16" s="3">
        <v>0</v>
      </c>
      <c r="G16" s="3">
        <v>0</v>
      </c>
      <c r="H16" s="3">
        <v>-2.4479466957906498E-3</v>
      </c>
      <c r="I16" s="3">
        <v>-1.74933801855559</v>
      </c>
      <c r="J16" s="3">
        <v>1.8674161840030901</v>
      </c>
      <c r="K16" s="3">
        <v>-1.31303983638861</v>
      </c>
      <c r="L16" s="3">
        <v>-6.6691774043910503E-3</v>
      </c>
      <c r="M16" s="3">
        <v>1.19495407778227</v>
      </c>
    </row>
    <row r="17" spans="1:13" x14ac:dyDescent="0.3">
      <c r="A17" s="5">
        <v>3</v>
      </c>
      <c r="B17" s="3">
        <v>-0.68600000000000005</v>
      </c>
      <c r="C17" s="3">
        <v>-0.17399999999999999</v>
      </c>
      <c r="D17" s="3">
        <v>0.67259999999999998</v>
      </c>
      <c r="E17" s="3">
        <v>1.5720000000000001</v>
      </c>
      <c r="F17" s="4">
        <v>5.0000000000000001E-3</v>
      </c>
      <c r="G17" s="3">
        <v>-1.571</v>
      </c>
      <c r="H17" s="4">
        <v>4.31168772086494E-5</v>
      </c>
      <c r="I17" s="3">
        <v>-1.5754400617101201</v>
      </c>
      <c r="J17" s="3">
        <v>1.5776300116511399</v>
      </c>
      <c r="K17" s="3">
        <v>-9.8629174446917905E-4</v>
      </c>
      <c r="L17" s="3">
        <v>1.5710491350370299</v>
      </c>
      <c r="M17" s="3">
        <v>-4.9996993326746402E-3</v>
      </c>
    </row>
    <row r="18" spans="1:13" x14ac:dyDescent="0.3">
      <c r="A18" s="5">
        <v>4</v>
      </c>
      <c r="B18" s="3">
        <v>0.28960000000000002</v>
      </c>
      <c r="C18" s="3">
        <v>-0.57120000000000004</v>
      </c>
      <c r="D18" s="3">
        <v>0.67210000000000003</v>
      </c>
      <c r="E18" s="3">
        <v>1.5707960000000001</v>
      </c>
      <c r="F18" s="3">
        <v>0</v>
      </c>
      <c r="G18" s="3">
        <v>1.571</v>
      </c>
      <c r="H18" s="3">
        <v>1.5683445422715401</v>
      </c>
      <c r="I18" s="3">
        <v>-1.5730212989099801</v>
      </c>
      <c r="J18" s="3">
        <v>1.5763397773080801</v>
      </c>
      <c r="K18" s="3">
        <v>-4.7017420302181197E-3</v>
      </c>
      <c r="L18" s="3">
        <v>-2.6554602262435002E-3</v>
      </c>
      <c r="M18" s="3">
        <v>1.3832587550925901E-3</v>
      </c>
    </row>
    <row r="19" spans="1:13" x14ac:dyDescent="0.3">
      <c r="A19" s="5">
        <v>5</v>
      </c>
      <c r="B19" s="3">
        <v>-0.95</v>
      </c>
      <c r="C19" s="3">
        <v>-0.63880000000000003</v>
      </c>
      <c r="D19" s="3">
        <v>9.9699999999999997E-2</v>
      </c>
      <c r="E19" s="3">
        <v>1.0620000000000001</v>
      </c>
      <c r="F19" s="3">
        <v>-1.31</v>
      </c>
      <c r="G19" s="3">
        <v>0.33800000000000002</v>
      </c>
      <c r="H19" s="3">
        <v>0.348869001468889</v>
      </c>
      <c r="I19" s="3">
        <v>-0.52590239179088105</v>
      </c>
      <c r="J19" s="3">
        <v>1.05278472561202</v>
      </c>
      <c r="K19" s="3">
        <v>-0.78276130606572503</v>
      </c>
      <c r="L19" s="3">
        <v>0.51930468983938005</v>
      </c>
      <c r="M19" s="3">
        <v>1.56514920981017</v>
      </c>
    </row>
    <row r="20" spans="1:13" x14ac:dyDescent="0.3">
      <c r="A20" s="2">
        <v>6</v>
      </c>
      <c r="B20" s="6">
        <v>0.66900000000000004</v>
      </c>
      <c r="C20" s="6">
        <v>0.34420000000000001</v>
      </c>
      <c r="D20" s="6">
        <v>0.97209999999999996</v>
      </c>
      <c r="E20" s="6">
        <v>-1.72</v>
      </c>
      <c r="F20" s="6">
        <v>-0.52200000000000002</v>
      </c>
      <c r="G20" s="6">
        <v>-1.2709999999999999</v>
      </c>
      <c r="H20" s="6">
        <v>0.54266447681998997</v>
      </c>
      <c r="I20" s="6">
        <v>-2.94700009101091</v>
      </c>
      <c r="J20" s="6">
        <v>1.03669393658005</v>
      </c>
      <c r="K20" s="6">
        <v>-1.3680096514657201</v>
      </c>
      <c r="L20" s="6">
        <v>1.2559853809271699</v>
      </c>
      <c r="M20" s="6">
        <v>-0.48351569817705198</v>
      </c>
    </row>
    <row r="21" spans="1:13" x14ac:dyDescent="0.3">
      <c r="A21" s="2">
        <v>7</v>
      </c>
      <c r="B21" s="6">
        <v>0.89510000000000001</v>
      </c>
      <c r="C21" s="6">
        <v>0.29430000000000001</v>
      </c>
      <c r="D21" s="6">
        <v>0.94259999999999999</v>
      </c>
      <c r="E21" s="6">
        <v>-1.7208000000000001</v>
      </c>
      <c r="F21" s="6">
        <v>-0.5212</v>
      </c>
      <c r="G21" s="6">
        <v>-1.2706</v>
      </c>
      <c r="H21" s="6">
        <v>0.79512236195076302</v>
      </c>
      <c r="I21" s="6">
        <v>-2.9518875141634</v>
      </c>
      <c r="J21" s="6">
        <v>1.3877473466283501</v>
      </c>
      <c r="K21" s="6">
        <v>-1.73059544149077</v>
      </c>
      <c r="L21" s="6">
        <v>1.00599391044632</v>
      </c>
      <c r="M21" s="6">
        <v>-0.444413076340618</v>
      </c>
    </row>
    <row r="23" spans="1:13" x14ac:dyDescent="0.3">
      <c r="G23" s="6" t="s">
        <v>31</v>
      </c>
      <c r="H23" s="6">
        <f>B4-H15</f>
        <v>2.5308973019320702E-4</v>
      </c>
      <c r="I23" s="6">
        <f>C4-I15</f>
        <v>0.32581714894376701</v>
      </c>
      <c r="J23" s="6">
        <f t="shared" ref="I23:M23" si="0">D4-J15</f>
        <v>-0.89253143248364697</v>
      </c>
      <c r="K23" s="6">
        <f t="shared" si="0"/>
        <v>2.05867475394757</v>
      </c>
      <c r="L23" s="6">
        <f t="shared" si="0"/>
        <v>3.2136546481358699E-3</v>
      </c>
      <c r="M23" s="6">
        <f t="shared" si="0"/>
        <v>-1.49196006499895</v>
      </c>
    </row>
    <row r="24" spans="1:13" x14ac:dyDescent="0.3">
      <c r="H24" s="6">
        <f t="shared" ref="H23:H29" si="1">B5-H16</f>
        <v>2.4479466957906498E-3</v>
      </c>
      <c r="I24" s="6">
        <f t="shared" ref="I24:M27" si="2">C5-I16</f>
        <v>0.17933801855558995</v>
      </c>
      <c r="J24" s="6">
        <f t="shared" si="2"/>
        <v>-0.29741618400309</v>
      </c>
      <c r="K24" s="6">
        <f t="shared" si="2"/>
        <v>1.31303983638861</v>
      </c>
      <c r="L24" s="6">
        <f t="shared" si="2"/>
        <v>6.6691774043910503E-3</v>
      </c>
      <c r="M24" s="6">
        <f t="shared" si="2"/>
        <v>-1.19495407778227</v>
      </c>
    </row>
    <row r="25" spans="1:13" x14ac:dyDescent="0.3">
      <c r="H25" s="6">
        <f>B6-H17</f>
        <v>-4.31168772086494E-5</v>
      </c>
      <c r="I25" s="6">
        <f>C6-I17</f>
        <v>5.4400617101200144E-3</v>
      </c>
      <c r="J25" s="6">
        <f t="shared" si="2"/>
        <v>-7.6300116511398564E-3</v>
      </c>
      <c r="K25" s="6">
        <f t="shared" si="2"/>
        <v>9.8629174446917905E-4</v>
      </c>
      <c r="L25" s="6">
        <f t="shared" si="2"/>
        <v>-1.049135037029858E-3</v>
      </c>
      <c r="M25" s="6">
        <f t="shared" si="2"/>
        <v>4.9996993326746402E-3</v>
      </c>
    </row>
    <row r="26" spans="1:13" x14ac:dyDescent="0.3">
      <c r="H26" s="6">
        <f t="shared" si="1"/>
        <v>1.6554577284599858E-3</v>
      </c>
      <c r="I26" s="6">
        <f t="shared" si="2"/>
        <v>3.0212989099800414E-3</v>
      </c>
      <c r="J26" s="6">
        <f>D7-J18</f>
        <v>-6.3397773080799968E-3</v>
      </c>
      <c r="K26" s="6">
        <f t="shared" si="2"/>
        <v>4.7017420302181197E-3</v>
      </c>
      <c r="L26" s="6">
        <f t="shared" si="2"/>
        <v>2.6554602262435002E-3</v>
      </c>
      <c r="M26" s="6">
        <f t="shared" si="2"/>
        <v>-1.3832587550925901E-3</v>
      </c>
    </row>
    <row r="27" spans="1:13" x14ac:dyDescent="0.3">
      <c r="H27" s="6">
        <f t="shared" si="1"/>
        <v>1.3099853111098181E-4</v>
      </c>
      <c r="I27" s="6">
        <f t="shared" si="2"/>
        <v>2.9023917908810315E-3</v>
      </c>
      <c r="J27" s="6">
        <f t="shared" si="2"/>
        <v>-5.7847256120200363E-3</v>
      </c>
      <c r="K27" s="6">
        <f t="shared" si="2"/>
        <v>-2.2386939342750045E-3</v>
      </c>
      <c r="L27" s="6">
        <f t="shared" si="2"/>
        <v>3.695310160619969E-3</v>
      </c>
      <c r="M27" s="6">
        <f t="shared" si="2"/>
        <v>4.8507901898300343E-3</v>
      </c>
    </row>
    <row r="28" spans="1:13" x14ac:dyDescent="0.3">
      <c r="G28" s="6"/>
      <c r="H28" s="6">
        <f t="shared" si="1"/>
        <v>3.3552318001006665E-4</v>
      </c>
      <c r="I28" s="6">
        <f t="shared" ref="I28" si="3">C9-I20</f>
        <v>0.99700009101091003</v>
      </c>
      <c r="J28" s="6">
        <f>D9-J20</f>
        <v>-2.07369393658005</v>
      </c>
      <c r="K28" s="6">
        <f t="shared" ref="K28" si="4">E9-K20</f>
        <v>1.0750096514657201</v>
      </c>
      <c r="L28" s="6">
        <f t="shared" ref="L28" si="5">F9-L20</f>
        <v>-9.8538092717004311E-4</v>
      </c>
      <c r="M28" s="6">
        <f t="shared" ref="M28" si="6">G9-M20</f>
        <v>1.5156981770519939E-3</v>
      </c>
    </row>
    <row r="29" spans="1:13" x14ac:dyDescent="0.3">
      <c r="H29" s="6">
        <f t="shared" si="1"/>
        <v>-3.4410129507630449E-3</v>
      </c>
      <c r="I29" s="6">
        <f>C10-I21</f>
        <v>1.3259387831634</v>
      </c>
      <c r="J29" s="6">
        <f>D10-J21</f>
        <v>-2.77022264762835</v>
      </c>
      <c r="K29" s="6">
        <f>E10-K21</f>
        <v>1.44174345049077</v>
      </c>
      <c r="L29" s="6">
        <f>F10-L21</f>
        <v>1.933732553679901E-3</v>
      </c>
      <c r="M29" s="6">
        <f>G10-M21</f>
        <v>2.8447753406179999E-3</v>
      </c>
    </row>
    <row r="34" spans="1:13" x14ac:dyDescent="0.3">
      <c r="A34" s="15" t="s">
        <v>10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 x14ac:dyDescent="0.3">
      <c r="A35" s="8" t="s">
        <v>0</v>
      </c>
      <c r="B35" s="7" t="s">
        <v>11</v>
      </c>
      <c r="C35" s="7" t="s">
        <v>12</v>
      </c>
      <c r="D35" s="7" t="s">
        <v>13</v>
      </c>
      <c r="E35" s="7" t="s">
        <v>32</v>
      </c>
      <c r="F35" s="7" t="s">
        <v>33</v>
      </c>
      <c r="G35" s="7" t="s">
        <v>34</v>
      </c>
      <c r="H35" s="7" t="s">
        <v>17</v>
      </c>
      <c r="I35" s="7" t="s">
        <v>18</v>
      </c>
      <c r="J35" s="7" t="s">
        <v>19</v>
      </c>
      <c r="K35" s="7" t="s">
        <v>20</v>
      </c>
      <c r="L35" s="7" t="s">
        <v>21</v>
      </c>
      <c r="M35" s="7" t="s">
        <v>22</v>
      </c>
    </row>
    <row r="36" spans="1:13" x14ac:dyDescent="0.3">
      <c r="A36" s="5">
        <v>1</v>
      </c>
      <c r="B36" s="3">
        <v>-1.1830000000000001</v>
      </c>
      <c r="C36" s="3">
        <v>-0.29070000000000001</v>
      </c>
      <c r="D36" s="3">
        <v>6.0299999999999999E-2</v>
      </c>
      <c r="E36" s="9">
        <v>1.5740000000000001</v>
      </c>
      <c r="F36" s="9">
        <v>0</v>
      </c>
      <c r="G36" s="9">
        <v>0</v>
      </c>
      <c r="H36" s="3">
        <v>-2.5308973019320702E-4</v>
      </c>
      <c r="I36" s="3">
        <v>-0.32581714894376701</v>
      </c>
      <c r="J36" s="3">
        <v>0.89253143248364697</v>
      </c>
      <c r="K36" s="3">
        <v>-2.05867475394757</v>
      </c>
      <c r="L36" s="3">
        <v>-3.2136546481358699E-3</v>
      </c>
      <c r="M36" s="3">
        <v>1.49196006499895</v>
      </c>
    </row>
    <row r="37" spans="1:13" x14ac:dyDescent="0.3">
      <c r="A37" s="5">
        <v>2</v>
      </c>
      <c r="B37" s="3">
        <v>-0.57120000000000004</v>
      </c>
      <c r="C37" s="3">
        <v>-0.28960000000000002</v>
      </c>
      <c r="D37" s="3">
        <v>0.67210000000000003</v>
      </c>
      <c r="E37" s="3">
        <v>1.577</v>
      </c>
      <c r="F37" s="3">
        <v>0</v>
      </c>
      <c r="G37" s="3">
        <v>0</v>
      </c>
      <c r="H37" s="3">
        <v>-2.4479466957906498E-3</v>
      </c>
      <c r="I37" s="3">
        <v>-1.74933801855559</v>
      </c>
      <c r="J37" s="3">
        <v>1.8674161840030901</v>
      </c>
      <c r="K37" s="3">
        <v>-1.31303983638861</v>
      </c>
      <c r="L37" s="3">
        <v>-6.6691774043910503E-3</v>
      </c>
      <c r="M37" s="3">
        <v>1.19495407778227</v>
      </c>
    </row>
    <row r="38" spans="1:13" x14ac:dyDescent="0.3">
      <c r="A38" s="5">
        <v>3</v>
      </c>
      <c r="B38" s="3">
        <v>-0.68600000000000005</v>
      </c>
      <c r="C38" s="3">
        <v>-0.17399999999999999</v>
      </c>
      <c r="D38" s="3">
        <v>0.67259999999999998</v>
      </c>
      <c r="E38" s="3">
        <v>1.214</v>
      </c>
      <c r="F38" s="3">
        <v>-1.208</v>
      </c>
      <c r="G38" s="3">
        <v>-1.212</v>
      </c>
      <c r="H38" s="4">
        <v>4.31168772086494E-5</v>
      </c>
      <c r="I38" s="3">
        <v>-1.5754400617101201</v>
      </c>
      <c r="J38" s="3">
        <v>1.5776300116511399</v>
      </c>
      <c r="K38" s="3">
        <v>-9.8629174446917905E-4</v>
      </c>
      <c r="L38" s="3">
        <v>1.5710491350370299</v>
      </c>
      <c r="M38" s="3">
        <v>-4.9996993326746402E-3</v>
      </c>
    </row>
    <row r="39" spans="1:13" x14ac:dyDescent="0.3">
      <c r="A39" s="5">
        <v>4</v>
      </c>
      <c r="B39" s="3">
        <v>0.28960000000000002</v>
      </c>
      <c r="C39" s="3">
        <v>-0.57120000000000004</v>
      </c>
      <c r="D39" s="3">
        <v>0.67210000000000003</v>
      </c>
      <c r="E39" s="3">
        <v>1.2130000000000001</v>
      </c>
      <c r="F39" s="3">
        <v>1.214</v>
      </c>
      <c r="G39" s="3">
        <v>1.2070000000000001</v>
      </c>
      <c r="H39" s="3">
        <v>1.5683445422715401</v>
      </c>
      <c r="I39" s="3">
        <v>-1.5730212989099801</v>
      </c>
      <c r="J39" s="3">
        <v>1.5763397773080801</v>
      </c>
      <c r="K39" s="3">
        <v>-4.7017420302181197E-3</v>
      </c>
      <c r="L39" s="3">
        <v>-2.6554602262435002E-3</v>
      </c>
      <c r="M39" s="3">
        <v>1.3832587550925901E-3</v>
      </c>
    </row>
    <row r="40" spans="1:13" x14ac:dyDescent="0.3">
      <c r="A40" s="11">
        <v>5</v>
      </c>
      <c r="B40" s="3">
        <v>-0.95</v>
      </c>
      <c r="C40" s="3">
        <v>-0.63880000000000003</v>
      </c>
      <c r="D40" s="3">
        <v>9.9699999999999997E-2</v>
      </c>
      <c r="E40" s="3">
        <v>1.1120000000000001</v>
      </c>
      <c r="F40" s="3">
        <v>-1.034</v>
      </c>
      <c r="G40" s="3">
        <v>0.96299999999999997</v>
      </c>
      <c r="H40" s="3">
        <v>0.348869001468889</v>
      </c>
      <c r="I40" s="3">
        <v>-0.52590239179088105</v>
      </c>
      <c r="J40" s="3">
        <v>1.05278472561202</v>
      </c>
      <c r="K40" s="3">
        <v>-0.78276130606572503</v>
      </c>
      <c r="L40" s="3">
        <v>0.51930468983938005</v>
      </c>
      <c r="M40" s="3">
        <v>1.56514920981017</v>
      </c>
    </row>
    <row r="41" spans="1:13" x14ac:dyDescent="0.3">
      <c r="A41" s="1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x14ac:dyDescent="0.3">
      <c r="A42" s="1"/>
      <c r="B42" s="6"/>
      <c r="C42" s="6"/>
      <c r="D42" s="6"/>
      <c r="E42" s="6"/>
      <c r="F42" s="6"/>
      <c r="G42" s="6" t="s">
        <v>31</v>
      </c>
      <c r="H42" s="6">
        <f>B4-H36</f>
        <v>2.5308973019320702E-4</v>
      </c>
      <c r="I42" s="6">
        <f t="shared" ref="I42:M42" si="7">C4-I36</f>
        <v>0.32581714894376701</v>
      </c>
      <c r="J42" s="6">
        <f t="shared" si="7"/>
        <v>-0.89253143248364697</v>
      </c>
      <c r="K42" s="6">
        <f t="shared" si="7"/>
        <v>2.05867475394757</v>
      </c>
      <c r="L42" s="6">
        <f t="shared" si="7"/>
        <v>3.2136546481358699E-3</v>
      </c>
      <c r="M42" s="6">
        <f t="shared" si="7"/>
        <v>-1.49196006499895</v>
      </c>
    </row>
    <row r="43" spans="1:13" x14ac:dyDescent="0.3">
      <c r="H43" s="6">
        <f t="shared" ref="H43:H46" si="8">B5-H37</f>
        <v>2.4479466957906498E-3</v>
      </c>
      <c r="I43" s="6">
        <f t="shared" ref="I43:I45" si="9">C5-I37</f>
        <v>0.17933801855558995</v>
      </c>
      <c r="J43" s="6">
        <f t="shared" ref="J43:J46" si="10">D5-J37</f>
        <v>-0.29741618400309</v>
      </c>
      <c r="K43" s="6">
        <f t="shared" ref="K43:K46" si="11">E5-K37</f>
        <v>1.31303983638861</v>
      </c>
      <c r="L43" s="6">
        <f t="shared" ref="L43:L46" si="12">F5-L37</f>
        <v>6.6691774043910503E-3</v>
      </c>
      <c r="M43" s="6">
        <f t="shared" ref="M43:M46" si="13">G5-M37</f>
        <v>-1.19495407778227</v>
      </c>
    </row>
    <row r="44" spans="1:13" x14ac:dyDescent="0.3">
      <c r="H44" s="6">
        <f t="shared" si="8"/>
        <v>-4.31168772086494E-5</v>
      </c>
      <c r="I44" s="6">
        <f t="shared" si="9"/>
        <v>5.4400617101200144E-3</v>
      </c>
      <c r="J44" s="6">
        <f t="shared" si="10"/>
        <v>-7.6300116511398564E-3</v>
      </c>
      <c r="K44" s="6">
        <f t="shared" si="11"/>
        <v>9.8629174446917905E-4</v>
      </c>
      <c r="L44" s="6">
        <f t="shared" si="12"/>
        <v>-1.049135037029858E-3</v>
      </c>
      <c r="M44" s="6">
        <f t="shared" si="13"/>
        <v>4.9996993326746402E-3</v>
      </c>
    </row>
    <row r="45" spans="1:13" x14ac:dyDescent="0.3">
      <c r="H45" s="6">
        <f t="shared" si="8"/>
        <v>1.6554577284599858E-3</v>
      </c>
      <c r="I45" s="6">
        <f t="shared" si="9"/>
        <v>3.0212989099800414E-3</v>
      </c>
      <c r="J45" s="6">
        <f t="shared" si="10"/>
        <v>-6.3397773080799968E-3</v>
      </c>
      <c r="K45" s="6">
        <f t="shared" si="11"/>
        <v>4.7017420302181197E-3</v>
      </c>
      <c r="L45" s="6">
        <f t="shared" si="12"/>
        <v>2.6554602262435002E-3</v>
      </c>
      <c r="M45" s="6">
        <f t="shared" si="13"/>
        <v>-1.3832587550925901E-3</v>
      </c>
    </row>
    <row r="46" spans="1:13" x14ac:dyDescent="0.3">
      <c r="H46" s="6">
        <f t="shared" si="8"/>
        <v>1.3099853111098181E-4</v>
      </c>
      <c r="I46" s="6">
        <f>C8-I40</f>
        <v>2.9023917908810315E-3</v>
      </c>
      <c r="J46" s="6">
        <f t="shared" si="10"/>
        <v>-5.7847256120200363E-3</v>
      </c>
      <c r="K46" s="6">
        <f t="shared" si="11"/>
        <v>-2.2386939342750045E-3</v>
      </c>
      <c r="L46" s="6">
        <f t="shared" si="12"/>
        <v>3.695310160619969E-3</v>
      </c>
      <c r="M46" s="6">
        <f t="shared" si="13"/>
        <v>4.8507901898300343E-3</v>
      </c>
    </row>
  </sheetData>
  <mergeCells count="8">
    <mergeCell ref="K2:M2"/>
    <mergeCell ref="H2:J2"/>
    <mergeCell ref="B2:G2"/>
    <mergeCell ref="A1:M1"/>
    <mergeCell ref="A34:M34"/>
    <mergeCell ref="A12:G12"/>
    <mergeCell ref="A13:M13"/>
    <mergeCell ref="N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Serhat Kahraman</dc:creator>
  <cp:lastModifiedBy>Serhat Kahraman</cp:lastModifiedBy>
  <dcterms:created xsi:type="dcterms:W3CDTF">2025-08-26T11:28:15Z</dcterms:created>
  <dcterms:modified xsi:type="dcterms:W3CDTF">2025-09-17T11:14:04Z</dcterms:modified>
</cp:coreProperties>
</file>